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igitaydede/Dropbox/Documents/Courses/MBAN5520/"/>
    </mc:Choice>
  </mc:AlternateContent>
  <xr:revisionPtr revIDLastSave="0" documentId="8_{8F65F7FF-19FC-4C4D-8716-26A5BF47BF0A}" xr6:coauthVersionLast="47" xr6:coauthVersionMax="47" xr10:uidLastSave="{00000000-0000-0000-0000-000000000000}"/>
  <bookViews>
    <workbookView xWindow="72780" yWindow="3620" windowWidth="29740" windowHeight="15880" xr2:uid="{00000000-000D-0000-FFFF-FFFF00000000}"/>
  </bookViews>
  <sheets>
    <sheet name="Grad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" l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" i="1"/>
  <c r="R4" i="1" a="1"/>
  <c r="R4" i="1" s="1"/>
  <c r="R5" i="1" a="1"/>
  <c r="R5" i="1" s="1"/>
  <c r="R6" i="1" a="1"/>
  <c r="R6" i="1"/>
  <c r="R7" i="1" a="1"/>
  <c r="R7" i="1" s="1"/>
  <c r="R8" i="1" a="1"/>
  <c r="R8" i="1" s="1"/>
  <c r="R9" i="1" a="1"/>
  <c r="R9" i="1"/>
  <c r="R10" i="1" a="1"/>
  <c r="R10" i="1"/>
  <c r="R11" i="1" a="1"/>
  <c r="R11" i="1" s="1"/>
  <c r="R12" i="1" a="1"/>
  <c r="R12" i="1" s="1"/>
  <c r="R13" i="1" a="1"/>
  <c r="R13" i="1" s="1"/>
  <c r="R14" i="1" a="1"/>
  <c r="R14" i="1"/>
  <c r="R15" i="1" a="1"/>
  <c r="R15" i="1" s="1"/>
  <c r="R16" i="1" a="1"/>
  <c r="R16" i="1" s="1"/>
  <c r="R17" i="1" a="1"/>
  <c r="R17" i="1" s="1"/>
  <c r="R18" i="1" a="1"/>
  <c r="R18" i="1"/>
  <c r="R19" i="1" a="1"/>
  <c r="R19" i="1" s="1"/>
  <c r="R20" i="1" a="1"/>
  <c r="R20" i="1" s="1"/>
  <c r="R21" i="1" a="1"/>
  <c r="R21" i="1" s="1"/>
  <c r="R22" i="1" a="1"/>
  <c r="R22" i="1"/>
  <c r="R23" i="1" a="1"/>
  <c r="R23" i="1" s="1"/>
  <c r="R24" i="1" a="1"/>
  <c r="R24" i="1" s="1"/>
  <c r="R25" i="1" a="1"/>
  <c r="R25" i="1" s="1"/>
  <c r="R26" i="1" a="1"/>
  <c r="R26" i="1" s="1"/>
  <c r="R27" i="1" a="1"/>
  <c r="R27" i="1" s="1"/>
  <c r="R28" i="1" a="1"/>
  <c r="R28" i="1" s="1"/>
  <c r="R29" i="1" a="1"/>
  <c r="R29" i="1" s="1"/>
  <c r="R30" i="1" a="1"/>
  <c r="R30" i="1"/>
  <c r="R31" i="1" a="1"/>
  <c r="R31" i="1" s="1"/>
  <c r="R3" i="1" a="1"/>
  <c r="R3" i="1" s="1"/>
  <c r="N5" i="1"/>
  <c r="N13" i="1"/>
  <c r="N21" i="1"/>
  <c r="N29" i="1"/>
  <c r="N30" i="1"/>
  <c r="M4" i="1"/>
  <c r="M5" i="1"/>
  <c r="M6" i="1"/>
  <c r="M7" i="1"/>
  <c r="M8" i="1"/>
  <c r="M9" i="1"/>
  <c r="M10" i="1"/>
  <c r="M11" i="1"/>
  <c r="M12" i="1"/>
  <c r="M13" i="1"/>
  <c r="M14" i="1"/>
  <c r="M15" i="1"/>
  <c r="N15" i="1" s="1"/>
  <c r="M16" i="1"/>
  <c r="M17" i="1"/>
  <c r="M18" i="1"/>
  <c r="M19" i="1"/>
  <c r="M20" i="1"/>
  <c r="M21" i="1"/>
  <c r="M22" i="1"/>
  <c r="M23" i="1"/>
  <c r="N23" i="1" s="1"/>
  <c r="M24" i="1"/>
  <c r="M25" i="1"/>
  <c r="M26" i="1"/>
  <c r="M27" i="1"/>
  <c r="M28" i="1"/>
  <c r="M29" i="1"/>
  <c r="M30" i="1"/>
  <c r="M31" i="1"/>
  <c r="M3" i="1"/>
  <c r="N3" i="1" s="1"/>
  <c r="H4" i="1"/>
  <c r="N4" i="1" s="1"/>
  <c r="H5" i="1"/>
  <c r="H6" i="1"/>
  <c r="N6" i="1" s="1"/>
  <c r="H7" i="1"/>
  <c r="N7" i="1" s="1"/>
  <c r="H8" i="1"/>
  <c r="N8" i="1" s="1"/>
  <c r="H9" i="1"/>
  <c r="N9" i="1" s="1"/>
  <c r="H10" i="1"/>
  <c r="N10" i="1" s="1"/>
  <c r="H11" i="1"/>
  <c r="N11" i="1" s="1"/>
  <c r="H12" i="1"/>
  <c r="N12" i="1" s="1"/>
  <c r="H13" i="1"/>
  <c r="H14" i="1"/>
  <c r="N14" i="1" s="1"/>
  <c r="H15" i="1"/>
  <c r="H16" i="1"/>
  <c r="N16" i="1" s="1"/>
  <c r="H17" i="1"/>
  <c r="N17" i="1" s="1"/>
  <c r="H18" i="1"/>
  <c r="N18" i="1" s="1"/>
  <c r="H19" i="1"/>
  <c r="N19" i="1" s="1"/>
  <c r="H20" i="1"/>
  <c r="N20" i="1" s="1"/>
  <c r="H21" i="1"/>
  <c r="H22" i="1"/>
  <c r="N22" i="1" s="1"/>
  <c r="H23" i="1"/>
  <c r="H24" i="1"/>
  <c r="H25" i="1"/>
  <c r="N25" i="1" s="1"/>
  <c r="H26" i="1"/>
  <c r="N26" i="1" s="1"/>
  <c r="H27" i="1"/>
  <c r="N27" i="1" s="1"/>
  <c r="H28" i="1"/>
  <c r="N28" i="1" s="1"/>
  <c r="H29" i="1"/>
  <c r="H30" i="1"/>
  <c r="H31" i="1"/>
  <c r="N31" i="1" s="1"/>
  <c r="H3" i="1"/>
  <c r="N24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<sst xmlns="http://schemas.openxmlformats.org/spreadsheetml/2006/main" count="146" uniqueCount="117">
  <si>
    <t>Last Name</t>
  </si>
  <si>
    <t>First Name</t>
  </si>
  <si>
    <t>Assignment #1 LifeLine Insurance CRISP Points Grade &lt;Numeric MaxPoints:8 Weight:10&gt;</t>
  </si>
  <si>
    <t>Assignment #2 Data Preparation Points Grade &lt;Numeric MaxPoints:8 Weight:10&gt;</t>
  </si>
  <si>
    <t>Assignment 3 Data Exploration Points Grade &lt;Numeric MaxPoints:8 Weight:10&gt;</t>
  </si>
  <si>
    <t>Assignment 4 Evaluation Points Grade &lt;Numeric MaxPoints:8 Weight:10&gt;</t>
  </si>
  <si>
    <t>Assignment1 Points Grade &lt;Numeric MaxPoints:100 Weight:10&gt;</t>
  </si>
  <si>
    <t>Assignment 2 Points Grade &lt;Numeric MaxPoints:100 Weight:10&gt;</t>
  </si>
  <si>
    <t>quiz 1 Points Grade &lt;Numeric MaxPoints:10 Weight:2.5&gt;</t>
  </si>
  <si>
    <t>Quiz 2 Points Grade &lt;Numeric MaxPoints:10 Weight:2.5&gt;</t>
  </si>
  <si>
    <t>quiz 3 Points Grade &lt;Numeric MaxPoints:10 Weight:2.5&gt;</t>
  </si>
  <si>
    <t>quiz 4 Points Grade &lt;Numeric MaxPoints:10 Weight:2.5&gt;</t>
  </si>
  <si>
    <t>A00056348</t>
  </si>
  <si>
    <t>Warner</t>
  </si>
  <si>
    <t>Dale</t>
  </si>
  <si>
    <t>A00307869</t>
  </si>
  <si>
    <t>Ryan</t>
  </si>
  <si>
    <t>Meaghan</t>
  </si>
  <si>
    <t>A00388582</t>
  </si>
  <si>
    <t>Duprey</t>
  </si>
  <si>
    <t>Emma</t>
  </si>
  <si>
    <t>A00435912</t>
  </si>
  <si>
    <t>Rogers</t>
  </si>
  <si>
    <t>Melanie</t>
  </si>
  <si>
    <t>A00456909</t>
  </si>
  <si>
    <t>Mao</t>
  </si>
  <si>
    <t>Jiaqi</t>
  </si>
  <si>
    <t>A00465309</t>
  </si>
  <si>
    <t>McAleese</t>
  </si>
  <si>
    <t>Laura</t>
  </si>
  <si>
    <t>A00470607</t>
  </si>
  <si>
    <t>Johnston</t>
  </si>
  <si>
    <t>Adam</t>
  </si>
  <si>
    <t>A00475114</t>
  </si>
  <si>
    <t>Raeisi</t>
  </si>
  <si>
    <t>Nargis</t>
  </si>
  <si>
    <t>A00479698</t>
  </si>
  <si>
    <t>Keefe</t>
  </si>
  <si>
    <t>Aidan</t>
  </si>
  <si>
    <t>A00487054</t>
  </si>
  <si>
    <t>Osideinde</t>
  </si>
  <si>
    <t>Feyi</t>
  </si>
  <si>
    <t>A00489387</t>
  </si>
  <si>
    <t>Wang</t>
  </si>
  <si>
    <t>Maggie Wang</t>
  </si>
  <si>
    <t>A00491149</t>
  </si>
  <si>
    <t>Li</t>
  </si>
  <si>
    <t>Ruilong</t>
  </si>
  <si>
    <t>A00491212</t>
  </si>
  <si>
    <t>Jaiyeoba</t>
  </si>
  <si>
    <t>Tomi</t>
  </si>
  <si>
    <t>A00491352</t>
  </si>
  <si>
    <t>Kodi</t>
  </si>
  <si>
    <t>Rachael Martetsoo Kodi</t>
  </si>
  <si>
    <t>A00491626</t>
  </si>
  <si>
    <t>Akinniyi</t>
  </si>
  <si>
    <t>Mojisola</t>
  </si>
  <si>
    <t>A00491832</t>
  </si>
  <si>
    <t>Tavakkolijouybari</t>
  </si>
  <si>
    <t>Mina</t>
  </si>
  <si>
    <t>A00492090</t>
  </si>
  <si>
    <t>Shklanka</t>
  </si>
  <si>
    <t>Gavin Shklanka</t>
  </si>
  <si>
    <t>A00492165</t>
  </si>
  <si>
    <t>Arikawe</t>
  </si>
  <si>
    <t>Adewunmi</t>
  </si>
  <si>
    <t>A00492368</t>
  </si>
  <si>
    <t>Amoakohene</t>
  </si>
  <si>
    <t>Irene</t>
  </si>
  <si>
    <t>A00493267</t>
  </si>
  <si>
    <t>Sharma</t>
  </si>
  <si>
    <t>Ritika</t>
  </si>
  <si>
    <t>A00493778</t>
  </si>
  <si>
    <t>Dam</t>
  </si>
  <si>
    <t>Minh</t>
  </si>
  <si>
    <t>A00494090</t>
  </si>
  <si>
    <t>Toner</t>
  </si>
  <si>
    <t>Michael</t>
  </si>
  <si>
    <t>A00494170</t>
  </si>
  <si>
    <t>Raut</t>
  </si>
  <si>
    <t>Mandipa</t>
  </si>
  <si>
    <t>A00494214</t>
  </si>
  <si>
    <t>Denny</t>
  </si>
  <si>
    <t>Angel</t>
  </si>
  <si>
    <t>A00494444</t>
  </si>
  <si>
    <t>Barish</t>
  </si>
  <si>
    <t>Hailey</t>
  </si>
  <si>
    <t>A00494482</t>
  </si>
  <si>
    <t>Farokhnejad</t>
  </si>
  <si>
    <t>Mahshid</t>
  </si>
  <si>
    <t>A00494532</t>
  </si>
  <si>
    <t>Ballesteros</t>
  </si>
  <si>
    <t>Ella</t>
  </si>
  <si>
    <t>A00494817</t>
  </si>
  <si>
    <t>Etin</t>
  </si>
  <si>
    <t>Ron</t>
  </si>
  <si>
    <t>A00495153</t>
  </si>
  <si>
    <t>Soni</t>
  </si>
  <si>
    <t>Krishna</t>
  </si>
  <si>
    <t>Assign Avg/40</t>
  </si>
  <si>
    <t>Quiz Avg/10</t>
  </si>
  <si>
    <t>Stat Grade/50</t>
  </si>
  <si>
    <t>A number</t>
  </si>
  <si>
    <t xml:space="preserve">Assignment 3 </t>
  </si>
  <si>
    <t>MBAN 5520</t>
  </si>
  <si>
    <t>F IRST PART</t>
  </si>
  <si>
    <t>SECON PART</t>
  </si>
  <si>
    <t>Course Mark</t>
  </si>
  <si>
    <t>Suggested Conversion</t>
  </si>
  <si>
    <t>A-</t>
  </si>
  <si>
    <t>89-92.99</t>
  </si>
  <si>
    <t>93-96.99</t>
  </si>
  <si>
    <t>97+</t>
  </si>
  <si>
    <t>A</t>
  </si>
  <si>
    <t>A+</t>
  </si>
  <si>
    <t>B+</t>
  </si>
  <si>
    <t>-89.99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</si>
</sst>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1"/>
      <color rgb="FFFF0000"/>
      <name val="Aptos Narrow"/>
      <scheme val="minor"/>
    </font>
    <font>
      <b/>
      <sz val="12"/>
      <color theme="1"/>
      <name val="Aptos Narrow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164" fontId="0" fillId="0" borderId="0" xfId="0" applyNumberFormat="1"/>
    <xf numFmtId="0" fontId="0" fillId="33" borderId="0" xfId="0" applyFill="1"/>
    <xf numFmtId="0" fontId="0" fillId="0" borderId="0" xfId="0" applyAlignment="1">
      <alignment horizontal="center"/>
    </xf>
    <xf numFmtId="43" fontId="0" fillId="33" borderId="0" xfId="42" applyFont="1" applyFill="1"/>
    <xf numFmtId="9" fontId="0" fillId="33" borderId="0" xfId="0" applyNumberFormat="1" applyFill="1"/>
    <xf numFmtId="43" fontId="18" fillId="34" borderId="0" xfId="0" applyNumberFormat="1" applyFont="1" applyFill="1"/>
    <xf numFmtId="0" fontId="18" fillId="34" borderId="0" xfId="0" applyFont="1" applyFill="1" applyAlignment="1">
      <alignment horizontal="center"/>
    </xf>
    <xf numFmtId="0" fontId="19" fillId="35" borderId="0" xfId="0" applyFont="1" applyFill="1"/>
    <xf numFmtId="0" fontId="20" fillId="36" borderId="0" xfId="0" applyFont="1" applyFill="1"/>
    <xf numFmtId="49" fontId="18" fillId="36" borderId="0" xfId="0" applyNumberFormat="1" applyFont="1" applyFill="1"/>
    <xf numFmtId="0" fontId="18" fillId="36" borderId="0" xfId="0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1"/>
  <sheetViews>
    <sheetView tabSelected="1" workbookViewId="0">
      <selection activeCell="W12" sqref="W12"/>
    </sheetView>
  </sheetViews>
  <sheetFormatPr baseColWidth="10" defaultColWidth="8.83203125" defaultRowHeight="15" x14ac:dyDescent="0.2"/>
  <cols>
    <col min="1" max="1" width="11.33203125" customWidth="1"/>
    <col min="14" max="14" width="8.6640625" style="2"/>
    <col min="23" max="23" width="19" bestFit="1" customWidth="1"/>
  </cols>
  <sheetData>
    <row r="1" spans="1:24" x14ac:dyDescent="0.2">
      <c r="A1" t="s">
        <v>104</v>
      </c>
      <c r="B1" s="3" t="s">
        <v>105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O1" s="3" t="s">
        <v>106</v>
      </c>
      <c r="P1" s="3"/>
      <c r="Q1" s="3"/>
      <c r="R1" s="2"/>
    </row>
    <row r="2" spans="1:24" ht="16" x14ac:dyDescent="0.2">
      <c r="A2" t="s">
        <v>102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99</v>
      </c>
      <c r="I2" t="s">
        <v>8</v>
      </c>
      <c r="J2" t="s">
        <v>9</v>
      </c>
      <c r="K2" t="s">
        <v>10</v>
      </c>
      <c r="L2" t="s">
        <v>11</v>
      </c>
      <c r="M2" t="s">
        <v>100</v>
      </c>
      <c r="N2" s="2" t="s">
        <v>101</v>
      </c>
      <c r="O2" t="s">
        <v>6</v>
      </c>
      <c r="P2" t="s">
        <v>7</v>
      </c>
      <c r="Q2" t="s">
        <v>103</v>
      </c>
      <c r="R2" s="5">
        <v>0.5</v>
      </c>
      <c r="T2" s="7" t="s">
        <v>107</v>
      </c>
      <c r="U2" s="7"/>
      <c r="W2" s="9" t="s">
        <v>108</v>
      </c>
      <c r="X2" s="9"/>
    </row>
    <row r="3" spans="1:24" x14ac:dyDescent="0.2">
      <c r="A3" t="s">
        <v>54</v>
      </c>
      <c r="B3" t="s">
        <v>55</v>
      </c>
      <c r="C3" t="s">
        <v>56</v>
      </c>
      <c r="D3">
        <v>8</v>
      </c>
      <c r="E3">
        <v>7.75</v>
      </c>
      <c r="F3">
        <v>7.33</v>
      </c>
      <c r="G3">
        <v>8</v>
      </c>
      <c r="H3" s="1">
        <f>SUM(D3:G3)*1.25</f>
        <v>38.849999999999994</v>
      </c>
      <c r="I3">
        <v>4</v>
      </c>
      <c r="J3">
        <v>9</v>
      </c>
      <c r="K3">
        <v>8</v>
      </c>
      <c r="L3">
        <v>9</v>
      </c>
      <c r="M3">
        <f>SUM(I3:L3)/4</f>
        <v>7.5</v>
      </c>
      <c r="N3" s="4">
        <f>H3+M3</f>
        <v>46.349999999999994</v>
      </c>
      <c r="O3">
        <v>100</v>
      </c>
      <c r="P3">
        <v>89</v>
      </c>
      <c r="Q3">
        <v>100</v>
      </c>
      <c r="R3" s="4" cm="1">
        <f t="array" ref="R3">SUM(O3:Q3/3)*0.5</f>
        <v>48.166666666666671</v>
      </c>
      <c r="T3" s="6">
        <f>+N3+R3</f>
        <v>94.516666666666666</v>
      </c>
      <c r="U3" s="8" t="s">
        <v>113</v>
      </c>
      <c r="W3" s="10" t="s">
        <v>116</v>
      </c>
      <c r="X3" s="11" t="s">
        <v>115</v>
      </c>
    </row>
    <row r="4" spans="1:24" ht="16" x14ac:dyDescent="0.2">
      <c r="A4" t="s">
        <v>66</v>
      </c>
      <c r="B4" t="s">
        <v>67</v>
      </c>
      <c r="C4" t="s">
        <v>68</v>
      </c>
      <c r="D4">
        <v>8</v>
      </c>
      <c r="E4">
        <v>7.75</v>
      </c>
      <c r="F4">
        <v>8</v>
      </c>
      <c r="G4">
        <v>8</v>
      </c>
      <c r="H4" s="1">
        <f t="shared" ref="H4:H31" si="0">SUM(D4:G4)*1.25</f>
        <v>39.6875</v>
      </c>
      <c r="I4">
        <v>10</v>
      </c>
      <c r="J4">
        <v>10</v>
      </c>
      <c r="K4">
        <v>8</v>
      </c>
      <c r="L4">
        <v>10</v>
      </c>
      <c r="M4">
        <f t="shared" ref="M4:M31" si="1">SUM(I4:L4)/4</f>
        <v>9.5</v>
      </c>
      <c r="N4" s="4">
        <f t="shared" ref="N4:N31" si="2">H4+M4</f>
        <v>49.1875</v>
      </c>
      <c r="O4">
        <v>100</v>
      </c>
      <c r="P4">
        <v>100</v>
      </c>
      <c r="Q4">
        <v>100</v>
      </c>
      <c r="R4" s="4" cm="1">
        <f t="array" ref="R4">SUM(O4:Q4/3)*0.5</f>
        <v>50</v>
      </c>
      <c r="T4" s="6">
        <f>+N4+R4</f>
        <v>99.1875</v>
      </c>
      <c r="U4" s="8" t="s">
        <v>114</v>
      </c>
      <c r="W4" s="9" t="s">
        <v>110</v>
      </c>
      <c r="X4" s="9" t="s">
        <v>109</v>
      </c>
    </row>
    <row r="5" spans="1:24" ht="16" x14ac:dyDescent="0.2">
      <c r="A5" t="s">
        <v>63</v>
      </c>
      <c r="B5" t="s">
        <v>64</v>
      </c>
      <c r="C5" t="s">
        <v>65</v>
      </c>
      <c r="D5">
        <v>8</v>
      </c>
      <c r="E5">
        <v>5.75</v>
      </c>
      <c r="F5">
        <v>5.87</v>
      </c>
      <c r="G5">
        <v>8</v>
      </c>
      <c r="H5" s="1">
        <f t="shared" si="0"/>
        <v>34.524999999999999</v>
      </c>
      <c r="I5">
        <v>4</v>
      </c>
      <c r="J5">
        <v>9</v>
      </c>
      <c r="K5">
        <v>8</v>
      </c>
      <c r="L5">
        <v>9</v>
      </c>
      <c r="M5">
        <f t="shared" si="1"/>
        <v>7.5</v>
      </c>
      <c r="N5" s="4">
        <f t="shared" si="2"/>
        <v>42.024999999999999</v>
      </c>
      <c r="O5">
        <v>100</v>
      </c>
      <c r="P5">
        <v>97</v>
      </c>
      <c r="Q5">
        <v>88</v>
      </c>
      <c r="R5" s="4" cm="1">
        <f t="array" ref="R5">SUM(O5:Q5/3)*0.5</f>
        <v>47.5</v>
      </c>
      <c r="T5" s="6">
        <f>+N5+R5</f>
        <v>89.525000000000006</v>
      </c>
      <c r="U5" s="8" t="s">
        <v>115</v>
      </c>
      <c r="W5" s="9" t="s">
        <v>111</v>
      </c>
      <c r="X5" s="9" t="s">
        <v>113</v>
      </c>
    </row>
    <row r="6" spans="1:24" ht="16" x14ac:dyDescent="0.2">
      <c r="A6" t="s">
        <v>90</v>
      </c>
      <c r="B6" t="s">
        <v>91</v>
      </c>
      <c r="C6" t="s">
        <v>92</v>
      </c>
      <c r="D6">
        <v>8</v>
      </c>
      <c r="E6">
        <v>7.47</v>
      </c>
      <c r="F6">
        <v>5.33</v>
      </c>
      <c r="G6">
        <v>8</v>
      </c>
      <c r="H6" s="1">
        <f t="shared" si="0"/>
        <v>36</v>
      </c>
      <c r="I6">
        <v>5</v>
      </c>
      <c r="J6">
        <v>9</v>
      </c>
      <c r="K6">
        <v>2</v>
      </c>
      <c r="L6">
        <v>4</v>
      </c>
      <c r="M6">
        <f t="shared" si="1"/>
        <v>5</v>
      </c>
      <c r="N6" s="4">
        <f t="shared" si="2"/>
        <v>41</v>
      </c>
      <c r="O6">
        <v>97.5</v>
      </c>
      <c r="P6">
        <v>99</v>
      </c>
      <c r="Q6">
        <v>100</v>
      </c>
      <c r="R6" s="4" cm="1">
        <f t="array" ref="R6">SUM(O6:Q6/3)*0.5</f>
        <v>49.416666666666671</v>
      </c>
      <c r="T6" s="6">
        <f>+N6+R6</f>
        <v>90.416666666666671</v>
      </c>
      <c r="U6" s="8" t="s">
        <v>109</v>
      </c>
      <c r="W6" s="9" t="s">
        <v>112</v>
      </c>
      <c r="X6" s="9" t="s">
        <v>114</v>
      </c>
    </row>
    <row r="7" spans="1:24" x14ac:dyDescent="0.2">
      <c r="A7" t="s">
        <v>84</v>
      </c>
      <c r="B7" t="s">
        <v>85</v>
      </c>
      <c r="C7" t="s">
        <v>86</v>
      </c>
      <c r="D7">
        <v>8</v>
      </c>
      <c r="E7">
        <v>8</v>
      </c>
      <c r="F7">
        <v>8</v>
      </c>
      <c r="G7">
        <v>8</v>
      </c>
      <c r="H7" s="1">
        <f t="shared" si="0"/>
        <v>40</v>
      </c>
      <c r="I7">
        <v>10</v>
      </c>
      <c r="J7">
        <v>7</v>
      </c>
      <c r="K7">
        <v>6</v>
      </c>
      <c r="L7">
        <v>6</v>
      </c>
      <c r="M7">
        <f t="shared" si="1"/>
        <v>7.25</v>
      </c>
      <c r="N7" s="4">
        <f t="shared" si="2"/>
        <v>47.25</v>
      </c>
      <c r="O7">
        <v>100</v>
      </c>
      <c r="P7">
        <v>100</v>
      </c>
      <c r="Q7">
        <v>100</v>
      </c>
      <c r="R7" s="4" cm="1">
        <f t="array" ref="R7">SUM(O7:Q7/3)*0.5</f>
        <v>50</v>
      </c>
      <c r="T7" s="6">
        <f>+N7+R7</f>
        <v>97.25</v>
      </c>
      <c r="U7" s="8" t="s">
        <v>114</v>
      </c>
    </row>
    <row r="8" spans="1:24" x14ac:dyDescent="0.2">
      <c r="A8" t="s">
        <v>72</v>
      </c>
      <c r="B8" t="s">
        <v>73</v>
      </c>
      <c r="C8" t="s">
        <v>74</v>
      </c>
      <c r="D8">
        <v>8</v>
      </c>
      <c r="E8">
        <v>7.88</v>
      </c>
      <c r="F8">
        <v>7.87</v>
      </c>
      <c r="G8">
        <v>8</v>
      </c>
      <c r="H8" s="1">
        <f t="shared" si="0"/>
        <v>39.6875</v>
      </c>
      <c r="I8">
        <v>8</v>
      </c>
      <c r="J8">
        <v>10</v>
      </c>
      <c r="K8">
        <v>7</v>
      </c>
      <c r="L8">
        <v>7</v>
      </c>
      <c r="M8">
        <f t="shared" si="1"/>
        <v>8</v>
      </c>
      <c r="N8" s="4">
        <f t="shared" si="2"/>
        <v>47.6875</v>
      </c>
      <c r="O8">
        <v>100</v>
      </c>
      <c r="P8">
        <v>100</v>
      </c>
      <c r="Q8">
        <v>100</v>
      </c>
      <c r="R8" s="4" cm="1">
        <f t="array" ref="R8">SUM(O8:Q8/3)*0.5</f>
        <v>50</v>
      </c>
      <c r="T8" s="6">
        <f>+N8+R8</f>
        <v>97.6875</v>
      </c>
      <c r="U8" s="8" t="s">
        <v>114</v>
      </c>
    </row>
    <row r="9" spans="1:24" x14ac:dyDescent="0.2">
      <c r="A9" t="s">
        <v>81</v>
      </c>
      <c r="B9" t="s">
        <v>82</v>
      </c>
      <c r="C9" t="s">
        <v>83</v>
      </c>
      <c r="D9">
        <v>8</v>
      </c>
      <c r="E9">
        <v>6.38</v>
      </c>
      <c r="F9">
        <v>6.67</v>
      </c>
      <c r="G9">
        <v>8</v>
      </c>
      <c r="H9" s="1">
        <f t="shared" si="0"/>
        <v>36.3125</v>
      </c>
      <c r="I9">
        <v>7</v>
      </c>
      <c r="J9">
        <v>10</v>
      </c>
      <c r="K9">
        <v>3</v>
      </c>
      <c r="L9">
        <v>8</v>
      </c>
      <c r="M9">
        <f t="shared" si="1"/>
        <v>7</v>
      </c>
      <c r="N9" s="4">
        <f t="shared" si="2"/>
        <v>43.3125</v>
      </c>
      <c r="O9">
        <v>100</v>
      </c>
      <c r="P9">
        <v>99</v>
      </c>
      <c r="Q9">
        <v>100</v>
      </c>
      <c r="R9" s="4" cm="1">
        <f t="array" ref="R9">SUM(O9:Q9/3)*0.5</f>
        <v>49.833333333333343</v>
      </c>
      <c r="T9" s="6">
        <f>+N9+R9</f>
        <v>93.145833333333343</v>
      </c>
      <c r="U9" s="8" t="s">
        <v>113</v>
      </c>
    </row>
    <row r="10" spans="1:24" x14ac:dyDescent="0.2">
      <c r="A10" t="s">
        <v>18</v>
      </c>
      <c r="B10" t="s">
        <v>19</v>
      </c>
      <c r="C10" t="s">
        <v>20</v>
      </c>
      <c r="D10">
        <v>8</v>
      </c>
      <c r="E10">
        <v>8</v>
      </c>
      <c r="F10">
        <v>7.33</v>
      </c>
      <c r="G10">
        <v>7.43</v>
      </c>
      <c r="H10" s="1">
        <f t="shared" si="0"/>
        <v>38.449999999999996</v>
      </c>
      <c r="I10">
        <v>5</v>
      </c>
      <c r="J10">
        <v>7</v>
      </c>
      <c r="K10">
        <v>3</v>
      </c>
      <c r="L10">
        <v>6</v>
      </c>
      <c r="M10">
        <f t="shared" si="1"/>
        <v>5.25</v>
      </c>
      <c r="N10" s="4">
        <f t="shared" si="2"/>
        <v>43.699999999999996</v>
      </c>
      <c r="O10">
        <v>100</v>
      </c>
      <c r="P10">
        <v>100</v>
      </c>
      <c r="Q10">
        <v>100</v>
      </c>
      <c r="R10" s="4" cm="1">
        <f t="array" ref="R10">SUM(O10:Q10/3)*0.5</f>
        <v>50</v>
      </c>
      <c r="T10" s="6">
        <f>+N10+R10</f>
        <v>93.699999999999989</v>
      </c>
      <c r="U10" s="8" t="s">
        <v>113</v>
      </c>
    </row>
    <row r="11" spans="1:24" x14ac:dyDescent="0.2">
      <c r="A11" t="s">
        <v>93</v>
      </c>
      <c r="B11" t="s">
        <v>94</v>
      </c>
      <c r="C11" t="s">
        <v>95</v>
      </c>
      <c r="D11">
        <v>8</v>
      </c>
      <c r="E11">
        <v>6.13</v>
      </c>
      <c r="F11">
        <v>5.6</v>
      </c>
      <c r="G11">
        <v>7.71</v>
      </c>
      <c r="H11" s="1">
        <f t="shared" si="0"/>
        <v>34.299999999999997</v>
      </c>
      <c r="I11">
        <v>7</v>
      </c>
      <c r="J11">
        <v>6</v>
      </c>
      <c r="K11">
        <v>4</v>
      </c>
      <c r="L11">
        <v>8</v>
      </c>
      <c r="M11">
        <f t="shared" si="1"/>
        <v>6.25</v>
      </c>
      <c r="N11" s="4">
        <f t="shared" si="2"/>
        <v>40.549999999999997</v>
      </c>
      <c r="O11">
        <v>100</v>
      </c>
      <c r="P11">
        <v>100</v>
      </c>
      <c r="Q11">
        <v>100</v>
      </c>
      <c r="R11" s="4" cm="1">
        <f t="array" ref="R11">SUM(O11:Q11/3)*0.5</f>
        <v>50</v>
      </c>
      <c r="T11" s="6">
        <f>+N11+R11</f>
        <v>90.55</v>
      </c>
      <c r="U11" s="8" t="s">
        <v>109</v>
      </c>
    </row>
    <row r="12" spans="1:24" x14ac:dyDescent="0.2">
      <c r="A12" t="s">
        <v>87</v>
      </c>
      <c r="B12" t="s">
        <v>88</v>
      </c>
      <c r="C12" t="s">
        <v>89</v>
      </c>
      <c r="D12">
        <v>8</v>
      </c>
      <c r="E12">
        <v>7.25</v>
      </c>
      <c r="F12">
        <v>7.47</v>
      </c>
      <c r="G12">
        <v>8</v>
      </c>
      <c r="H12" s="1">
        <f t="shared" si="0"/>
        <v>38.4</v>
      </c>
      <c r="I12">
        <v>7</v>
      </c>
      <c r="J12">
        <v>9</v>
      </c>
      <c r="K12">
        <v>5</v>
      </c>
      <c r="L12">
        <v>6</v>
      </c>
      <c r="M12">
        <f t="shared" si="1"/>
        <v>6.75</v>
      </c>
      <c r="N12" s="4">
        <f t="shared" si="2"/>
        <v>45.15</v>
      </c>
      <c r="O12">
        <v>100</v>
      </c>
      <c r="P12">
        <v>100</v>
      </c>
      <c r="Q12">
        <v>100</v>
      </c>
      <c r="R12" s="4" cm="1">
        <f t="array" ref="R12">SUM(O12:Q12/3)*0.5</f>
        <v>50</v>
      </c>
      <c r="T12" s="6">
        <f>+N12+R12</f>
        <v>95.15</v>
      </c>
      <c r="U12" s="8" t="s">
        <v>113</v>
      </c>
    </row>
    <row r="13" spans="1:24" x14ac:dyDescent="0.2">
      <c r="A13" t="s">
        <v>48</v>
      </c>
      <c r="B13" t="s">
        <v>49</v>
      </c>
      <c r="C13" t="s">
        <v>50</v>
      </c>
      <c r="D13">
        <v>8</v>
      </c>
      <c r="E13">
        <v>6.88</v>
      </c>
      <c r="F13">
        <v>7.6</v>
      </c>
      <c r="G13">
        <v>6.86</v>
      </c>
      <c r="H13" s="1">
        <f t="shared" si="0"/>
        <v>36.674999999999997</v>
      </c>
      <c r="I13">
        <v>8</v>
      </c>
      <c r="J13">
        <v>7</v>
      </c>
      <c r="K13">
        <v>7</v>
      </c>
      <c r="L13">
        <v>9</v>
      </c>
      <c r="M13">
        <f t="shared" si="1"/>
        <v>7.75</v>
      </c>
      <c r="N13" s="4">
        <f t="shared" si="2"/>
        <v>44.424999999999997</v>
      </c>
      <c r="O13">
        <v>100</v>
      </c>
      <c r="P13">
        <v>100</v>
      </c>
      <c r="Q13">
        <v>100</v>
      </c>
      <c r="R13" s="4" cm="1">
        <f t="array" ref="R13">SUM(O13:Q13/3)*0.5</f>
        <v>50</v>
      </c>
      <c r="T13" s="6">
        <f>+N13+R13</f>
        <v>94.424999999999997</v>
      </c>
      <c r="U13" s="8" t="s">
        <v>113</v>
      </c>
    </row>
    <row r="14" spans="1:24" x14ac:dyDescent="0.2">
      <c r="A14" t="s">
        <v>30</v>
      </c>
      <c r="B14" t="s">
        <v>31</v>
      </c>
      <c r="C14" t="s">
        <v>32</v>
      </c>
      <c r="D14">
        <v>8</v>
      </c>
      <c r="E14">
        <v>7.88</v>
      </c>
      <c r="F14">
        <v>7.47</v>
      </c>
      <c r="G14">
        <v>6.86</v>
      </c>
      <c r="H14" s="1">
        <f t="shared" si="0"/>
        <v>37.762499999999996</v>
      </c>
      <c r="I14">
        <v>7</v>
      </c>
      <c r="J14">
        <v>9</v>
      </c>
      <c r="K14">
        <v>5</v>
      </c>
      <c r="L14">
        <v>5</v>
      </c>
      <c r="M14">
        <f t="shared" si="1"/>
        <v>6.5</v>
      </c>
      <c r="N14" s="4">
        <f t="shared" si="2"/>
        <v>44.262499999999996</v>
      </c>
      <c r="O14">
        <v>100</v>
      </c>
      <c r="P14">
        <v>100</v>
      </c>
      <c r="Q14">
        <v>100</v>
      </c>
      <c r="R14" s="4" cm="1">
        <f t="array" ref="R14">SUM(O14:Q14/3)*0.5</f>
        <v>50</v>
      </c>
      <c r="T14" s="6">
        <f>+N14+R14</f>
        <v>94.262499999999989</v>
      </c>
      <c r="U14" s="8" t="s">
        <v>113</v>
      </c>
    </row>
    <row r="15" spans="1:24" x14ac:dyDescent="0.2">
      <c r="A15" t="s">
        <v>36</v>
      </c>
      <c r="B15" t="s">
        <v>37</v>
      </c>
      <c r="C15" t="s">
        <v>38</v>
      </c>
      <c r="D15">
        <v>8</v>
      </c>
      <c r="E15">
        <v>7.5</v>
      </c>
      <c r="F15">
        <v>7.73</v>
      </c>
      <c r="G15">
        <v>8</v>
      </c>
      <c r="H15" s="1">
        <f t="shared" si="0"/>
        <v>39.037500000000001</v>
      </c>
      <c r="I15">
        <v>10</v>
      </c>
      <c r="J15">
        <v>6</v>
      </c>
      <c r="K15">
        <v>7</v>
      </c>
      <c r="L15">
        <v>5</v>
      </c>
      <c r="M15">
        <f t="shared" si="1"/>
        <v>7</v>
      </c>
      <c r="N15" s="4">
        <f t="shared" si="2"/>
        <v>46.037500000000001</v>
      </c>
      <c r="O15">
        <v>100</v>
      </c>
      <c r="P15">
        <v>100</v>
      </c>
      <c r="Q15">
        <v>100</v>
      </c>
      <c r="R15" s="4" cm="1">
        <f t="array" ref="R15">SUM(O15:Q15/3)*0.5</f>
        <v>50</v>
      </c>
      <c r="T15" s="6">
        <f>+N15+R15</f>
        <v>96.037499999999994</v>
      </c>
      <c r="U15" s="8" t="s">
        <v>113</v>
      </c>
    </row>
    <row r="16" spans="1:24" x14ac:dyDescent="0.2">
      <c r="A16" t="s">
        <v>51</v>
      </c>
      <c r="B16" t="s">
        <v>52</v>
      </c>
      <c r="C16" t="s">
        <v>53</v>
      </c>
      <c r="D16">
        <v>8</v>
      </c>
      <c r="E16">
        <v>8</v>
      </c>
      <c r="F16">
        <v>7.87</v>
      </c>
      <c r="G16">
        <v>8</v>
      </c>
      <c r="H16" s="1">
        <f t="shared" si="0"/>
        <v>39.837499999999999</v>
      </c>
      <c r="I16">
        <v>7</v>
      </c>
      <c r="J16">
        <v>8</v>
      </c>
      <c r="K16">
        <v>6</v>
      </c>
      <c r="L16">
        <v>8</v>
      </c>
      <c r="M16">
        <f t="shared" si="1"/>
        <v>7.25</v>
      </c>
      <c r="N16" s="4">
        <f t="shared" si="2"/>
        <v>47.087499999999999</v>
      </c>
      <c r="O16">
        <v>100</v>
      </c>
      <c r="P16">
        <v>100</v>
      </c>
      <c r="Q16">
        <v>100</v>
      </c>
      <c r="R16" s="4" cm="1">
        <f t="array" ref="R16">SUM(O16:Q16/3)*0.5</f>
        <v>50</v>
      </c>
      <c r="T16" s="6">
        <f>+N16+R16</f>
        <v>97.087500000000006</v>
      </c>
      <c r="U16" s="8" t="s">
        <v>114</v>
      </c>
    </row>
    <row r="17" spans="1:21" x14ac:dyDescent="0.2">
      <c r="A17" t="s">
        <v>45</v>
      </c>
      <c r="B17" t="s">
        <v>46</v>
      </c>
      <c r="C17" t="s">
        <v>47</v>
      </c>
      <c r="D17">
        <v>8</v>
      </c>
      <c r="E17">
        <v>7.88</v>
      </c>
      <c r="F17">
        <v>7.73</v>
      </c>
      <c r="G17">
        <v>8</v>
      </c>
      <c r="H17" s="1">
        <f t="shared" si="0"/>
        <v>39.512500000000003</v>
      </c>
      <c r="I17">
        <v>9</v>
      </c>
      <c r="J17">
        <v>10</v>
      </c>
      <c r="K17">
        <v>8</v>
      </c>
      <c r="L17">
        <v>10</v>
      </c>
      <c r="M17">
        <f t="shared" si="1"/>
        <v>9.25</v>
      </c>
      <c r="N17" s="4">
        <f t="shared" si="2"/>
        <v>48.762500000000003</v>
      </c>
      <c r="O17">
        <v>100</v>
      </c>
      <c r="P17">
        <v>100</v>
      </c>
      <c r="Q17">
        <v>100</v>
      </c>
      <c r="R17" s="4" cm="1">
        <f t="array" ref="R17">SUM(O17:Q17/3)*0.5</f>
        <v>50</v>
      </c>
      <c r="T17" s="6">
        <f>+N17+R17</f>
        <v>98.762500000000003</v>
      </c>
      <c r="U17" s="8" t="s">
        <v>114</v>
      </c>
    </row>
    <row r="18" spans="1:21" x14ac:dyDescent="0.2">
      <c r="A18" t="s">
        <v>24</v>
      </c>
      <c r="B18" t="s">
        <v>25</v>
      </c>
      <c r="C18" t="s">
        <v>26</v>
      </c>
      <c r="D18">
        <v>8</v>
      </c>
      <c r="E18">
        <v>7.38</v>
      </c>
      <c r="F18">
        <v>7.87</v>
      </c>
      <c r="G18">
        <v>8</v>
      </c>
      <c r="H18" s="1">
        <f t="shared" si="0"/>
        <v>39.0625</v>
      </c>
      <c r="I18">
        <v>9</v>
      </c>
      <c r="J18">
        <v>10</v>
      </c>
      <c r="K18">
        <v>8</v>
      </c>
      <c r="L18">
        <v>10</v>
      </c>
      <c r="M18">
        <f t="shared" si="1"/>
        <v>9.25</v>
      </c>
      <c r="N18" s="4">
        <f t="shared" si="2"/>
        <v>48.3125</v>
      </c>
      <c r="O18">
        <v>100</v>
      </c>
      <c r="P18">
        <v>100</v>
      </c>
      <c r="Q18">
        <v>100</v>
      </c>
      <c r="R18" s="4" cm="1">
        <f t="array" ref="R18">SUM(O18:Q18/3)*0.5</f>
        <v>50</v>
      </c>
      <c r="T18" s="6">
        <f>+N18+R18</f>
        <v>98.3125</v>
      </c>
      <c r="U18" s="8" t="s">
        <v>114</v>
      </c>
    </row>
    <row r="19" spans="1:21" x14ac:dyDescent="0.2">
      <c r="A19" t="s">
        <v>27</v>
      </c>
      <c r="B19" t="s">
        <v>28</v>
      </c>
      <c r="C19" t="s">
        <v>29</v>
      </c>
      <c r="D19">
        <v>8</v>
      </c>
      <c r="E19">
        <v>8</v>
      </c>
      <c r="F19">
        <v>7.33</v>
      </c>
      <c r="G19">
        <v>7.43</v>
      </c>
      <c r="H19" s="1">
        <f t="shared" si="0"/>
        <v>38.449999999999996</v>
      </c>
      <c r="I19">
        <v>9</v>
      </c>
      <c r="J19">
        <v>8</v>
      </c>
      <c r="K19">
        <v>7.7</v>
      </c>
      <c r="L19">
        <v>6</v>
      </c>
      <c r="M19">
        <f t="shared" si="1"/>
        <v>7.6749999999999998</v>
      </c>
      <c r="N19" s="4">
        <f t="shared" si="2"/>
        <v>46.124999999999993</v>
      </c>
      <c r="O19">
        <v>100</v>
      </c>
      <c r="P19">
        <v>100</v>
      </c>
      <c r="Q19">
        <v>100</v>
      </c>
      <c r="R19" s="4" cm="1">
        <f t="array" ref="R19">SUM(O19:Q19/3)*0.5</f>
        <v>50</v>
      </c>
      <c r="T19" s="6">
        <f>+N19+R19</f>
        <v>96.125</v>
      </c>
      <c r="U19" s="8" t="s">
        <v>113</v>
      </c>
    </row>
    <row r="20" spans="1:21" x14ac:dyDescent="0.2">
      <c r="A20" t="s">
        <v>39</v>
      </c>
      <c r="B20" t="s">
        <v>40</v>
      </c>
      <c r="C20" t="s">
        <v>41</v>
      </c>
      <c r="D20">
        <v>8</v>
      </c>
      <c r="E20">
        <v>7.75</v>
      </c>
      <c r="F20">
        <v>6.93</v>
      </c>
      <c r="G20">
        <v>8</v>
      </c>
      <c r="H20" s="1">
        <f t="shared" si="0"/>
        <v>38.35</v>
      </c>
      <c r="I20">
        <v>8</v>
      </c>
      <c r="J20">
        <v>10</v>
      </c>
      <c r="K20">
        <v>4</v>
      </c>
      <c r="L20">
        <v>7</v>
      </c>
      <c r="M20">
        <f t="shared" si="1"/>
        <v>7.25</v>
      </c>
      <c r="N20" s="4">
        <f t="shared" si="2"/>
        <v>45.6</v>
      </c>
      <c r="O20">
        <v>100</v>
      </c>
      <c r="P20">
        <v>100</v>
      </c>
      <c r="Q20">
        <v>100</v>
      </c>
      <c r="R20" s="4" cm="1">
        <f t="array" ref="R20">SUM(O20:Q20/3)*0.5</f>
        <v>50</v>
      </c>
      <c r="T20" s="6">
        <f>+N20+R20</f>
        <v>95.6</v>
      </c>
      <c r="U20" s="8" t="s">
        <v>113</v>
      </c>
    </row>
    <row r="21" spans="1:21" x14ac:dyDescent="0.2">
      <c r="A21" t="s">
        <v>33</v>
      </c>
      <c r="B21" t="s">
        <v>34</v>
      </c>
      <c r="C21" t="s">
        <v>35</v>
      </c>
      <c r="D21">
        <v>8</v>
      </c>
      <c r="E21">
        <v>8</v>
      </c>
      <c r="F21">
        <v>7.87</v>
      </c>
      <c r="G21">
        <v>7.43</v>
      </c>
      <c r="H21" s="1">
        <f t="shared" si="0"/>
        <v>39.125</v>
      </c>
      <c r="I21">
        <v>7</v>
      </c>
      <c r="J21">
        <v>7</v>
      </c>
      <c r="K21">
        <v>3</v>
      </c>
      <c r="L21">
        <v>5</v>
      </c>
      <c r="M21">
        <f t="shared" si="1"/>
        <v>5.5</v>
      </c>
      <c r="N21" s="4">
        <f t="shared" si="2"/>
        <v>44.625</v>
      </c>
      <c r="O21">
        <v>99</v>
      </c>
      <c r="P21">
        <v>100</v>
      </c>
      <c r="Q21">
        <v>100</v>
      </c>
      <c r="R21" s="4" cm="1">
        <f t="array" ref="R21">SUM(O21:Q21/3)*0.5</f>
        <v>49.833333333333343</v>
      </c>
      <c r="T21" s="6">
        <f>+N21+R21</f>
        <v>94.458333333333343</v>
      </c>
      <c r="U21" s="8" t="s">
        <v>113</v>
      </c>
    </row>
    <row r="22" spans="1:21" x14ac:dyDescent="0.2">
      <c r="A22" t="s">
        <v>78</v>
      </c>
      <c r="B22" t="s">
        <v>79</v>
      </c>
      <c r="C22" t="s">
        <v>80</v>
      </c>
      <c r="D22">
        <v>8</v>
      </c>
      <c r="E22">
        <v>8</v>
      </c>
      <c r="F22">
        <v>7.6</v>
      </c>
      <c r="G22">
        <v>8</v>
      </c>
      <c r="H22" s="1">
        <f t="shared" si="0"/>
        <v>39.5</v>
      </c>
      <c r="I22">
        <v>6</v>
      </c>
      <c r="J22">
        <v>9</v>
      </c>
      <c r="K22">
        <v>8</v>
      </c>
      <c r="L22">
        <v>10</v>
      </c>
      <c r="M22">
        <f t="shared" si="1"/>
        <v>8.25</v>
      </c>
      <c r="N22" s="4">
        <f t="shared" si="2"/>
        <v>47.75</v>
      </c>
      <c r="O22">
        <v>100</v>
      </c>
      <c r="P22">
        <v>100</v>
      </c>
      <c r="Q22">
        <v>100</v>
      </c>
      <c r="R22" s="4" cm="1">
        <f t="array" ref="R22">SUM(O22:Q22/3)*0.5</f>
        <v>50</v>
      </c>
      <c r="T22" s="6">
        <f>+N22+R22</f>
        <v>97.75</v>
      </c>
      <c r="U22" s="8" t="s">
        <v>114</v>
      </c>
    </row>
    <row r="23" spans="1:21" x14ac:dyDescent="0.2">
      <c r="A23" t="s">
        <v>21</v>
      </c>
      <c r="B23" t="s">
        <v>22</v>
      </c>
      <c r="C23" t="s">
        <v>23</v>
      </c>
      <c r="D23">
        <v>8</v>
      </c>
      <c r="E23">
        <v>8</v>
      </c>
      <c r="F23">
        <v>8</v>
      </c>
      <c r="G23">
        <v>7.71</v>
      </c>
      <c r="H23" s="1">
        <f t="shared" si="0"/>
        <v>39.637500000000003</v>
      </c>
      <c r="I23">
        <v>10</v>
      </c>
      <c r="J23">
        <v>9</v>
      </c>
      <c r="K23">
        <v>9</v>
      </c>
      <c r="L23">
        <v>8</v>
      </c>
      <c r="M23">
        <f t="shared" si="1"/>
        <v>9</v>
      </c>
      <c r="N23" s="4">
        <f t="shared" si="2"/>
        <v>48.637500000000003</v>
      </c>
      <c r="O23">
        <v>100</v>
      </c>
      <c r="P23">
        <v>100</v>
      </c>
      <c r="Q23">
        <v>100</v>
      </c>
      <c r="R23" s="4" cm="1">
        <f t="array" ref="R23">SUM(O23:Q23/3)*0.5</f>
        <v>50</v>
      </c>
      <c r="T23" s="6">
        <f>+N23+R23</f>
        <v>98.637500000000003</v>
      </c>
      <c r="U23" s="8" t="s">
        <v>114</v>
      </c>
    </row>
    <row r="24" spans="1:21" x14ac:dyDescent="0.2">
      <c r="A24" t="s">
        <v>15</v>
      </c>
      <c r="B24" t="s">
        <v>16</v>
      </c>
      <c r="C24" t="s">
        <v>17</v>
      </c>
      <c r="D24">
        <v>8</v>
      </c>
      <c r="E24">
        <v>6.5</v>
      </c>
      <c r="F24">
        <v>5.6</v>
      </c>
      <c r="G24">
        <v>10</v>
      </c>
      <c r="H24" s="1">
        <f t="shared" si="0"/>
        <v>37.625</v>
      </c>
      <c r="I24">
        <v>4</v>
      </c>
      <c r="J24">
        <v>9</v>
      </c>
      <c r="K24">
        <v>5</v>
      </c>
      <c r="L24">
        <v>4</v>
      </c>
      <c r="M24">
        <f t="shared" si="1"/>
        <v>5.5</v>
      </c>
      <c r="N24" s="4">
        <f t="shared" si="2"/>
        <v>43.125</v>
      </c>
      <c r="O24">
        <v>100</v>
      </c>
      <c r="P24">
        <v>88</v>
      </c>
      <c r="Q24">
        <v>100</v>
      </c>
      <c r="R24" s="4" cm="1">
        <f t="array" ref="R24">SUM(O24:Q24/3)*0.5</f>
        <v>48</v>
      </c>
      <c r="T24" s="6">
        <f>+N24+R24</f>
        <v>91.125</v>
      </c>
      <c r="U24" s="8" t="s">
        <v>109</v>
      </c>
    </row>
    <row r="25" spans="1:21" x14ac:dyDescent="0.2">
      <c r="A25" t="s">
        <v>69</v>
      </c>
      <c r="B25" t="s">
        <v>70</v>
      </c>
      <c r="C25" t="s">
        <v>71</v>
      </c>
      <c r="D25">
        <v>8</v>
      </c>
      <c r="E25">
        <v>7.75</v>
      </c>
      <c r="F25">
        <v>7.07</v>
      </c>
      <c r="G25">
        <v>8</v>
      </c>
      <c r="H25" s="1">
        <f t="shared" si="0"/>
        <v>38.524999999999999</v>
      </c>
      <c r="I25">
        <v>8</v>
      </c>
      <c r="J25">
        <v>9</v>
      </c>
      <c r="K25">
        <v>10</v>
      </c>
      <c r="L25">
        <v>7</v>
      </c>
      <c r="M25">
        <f t="shared" si="1"/>
        <v>8.5</v>
      </c>
      <c r="N25" s="4">
        <f t="shared" si="2"/>
        <v>47.024999999999999</v>
      </c>
      <c r="O25">
        <v>100</v>
      </c>
      <c r="P25">
        <v>100</v>
      </c>
      <c r="Q25">
        <v>100</v>
      </c>
      <c r="R25" s="4" cm="1">
        <f t="array" ref="R25">SUM(O25:Q25/3)*0.5</f>
        <v>50</v>
      </c>
      <c r="T25" s="6">
        <f>+N25+R25</f>
        <v>97.025000000000006</v>
      </c>
      <c r="U25" s="8" t="s">
        <v>114</v>
      </c>
    </row>
    <row r="26" spans="1:21" x14ac:dyDescent="0.2">
      <c r="A26" t="s">
        <v>60</v>
      </c>
      <c r="B26" t="s">
        <v>61</v>
      </c>
      <c r="C26" t="s">
        <v>62</v>
      </c>
      <c r="D26">
        <v>8</v>
      </c>
      <c r="E26">
        <v>6.13</v>
      </c>
      <c r="F26">
        <v>8</v>
      </c>
      <c r="G26">
        <v>8</v>
      </c>
      <c r="H26" s="1">
        <f t="shared" si="0"/>
        <v>37.662500000000001</v>
      </c>
      <c r="I26">
        <v>7</v>
      </c>
      <c r="J26">
        <v>5</v>
      </c>
      <c r="K26">
        <v>7</v>
      </c>
      <c r="L26">
        <v>7</v>
      </c>
      <c r="M26">
        <f t="shared" si="1"/>
        <v>6.5</v>
      </c>
      <c r="N26" s="4">
        <f t="shared" si="2"/>
        <v>44.162500000000001</v>
      </c>
      <c r="O26">
        <v>100</v>
      </c>
      <c r="P26">
        <v>100</v>
      </c>
      <c r="Q26">
        <v>100</v>
      </c>
      <c r="R26" s="4" cm="1">
        <f t="array" ref="R26">SUM(O26:Q26/3)*0.5</f>
        <v>50</v>
      </c>
      <c r="T26" s="6">
        <f>+N26+R26</f>
        <v>94.162499999999994</v>
      </c>
      <c r="U26" s="8" t="s">
        <v>113</v>
      </c>
    </row>
    <row r="27" spans="1:21" x14ac:dyDescent="0.2">
      <c r="A27" t="s">
        <v>96</v>
      </c>
      <c r="B27" t="s">
        <v>97</v>
      </c>
      <c r="C27" t="s">
        <v>98</v>
      </c>
      <c r="D27">
        <v>8</v>
      </c>
      <c r="E27">
        <v>8</v>
      </c>
      <c r="F27">
        <v>6.4</v>
      </c>
      <c r="G27">
        <v>8</v>
      </c>
      <c r="H27" s="1">
        <f t="shared" si="0"/>
        <v>38</v>
      </c>
      <c r="I27">
        <v>9</v>
      </c>
      <c r="J27">
        <v>8</v>
      </c>
      <c r="K27">
        <v>3</v>
      </c>
      <c r="L27">
        <v>4</v>
      </c>
      <c r="M27">
        <f t="shared" si="1"/>
        <v>6</v>
      </c>
      <c r="N27" s="4">
        <f t="shared" si="2"/>
        <v>44</v>
      </c>
      <c r="O27">
        <v>100</v>
      </c>
      <c r="P27">
        <v>97</v>
      </c>
      <c r="Q27">
        <v>100</v>
      </c>
      <c r="R27" s="4" cm="1">
        <f t="array" ref="R27">SUM(O27:Q27/3)*0.5</f>
        <v>49.5</v>
      </c>
      <c r="T27" s="6">
        <f>+N27+R27</f>
        <v>93.5</v>
      </c>
      <c r="U27" s="8" t="s">
        <v>113</v>
      </c>
    </row>
    <row r="28" spans="1:21" x14ac:dyDescent="0.2">
      <c r="A28" t="s">
        <v>57</v>
      </c>
      <c r="B28" t="s">
        <v>58</v>
      </c>
      <c r="C28" t="s">
        <v>59</v>
      </c>
      <c r="D28">
        <v>8</v>
      </c>
      <c r="E28">
        <v>8</v>
      </c>
      <c r="F28">
        <v>8</v>
      </c>
      <c r="G28">
        <v>8</v>
      </c>
      <c r="H28" s="1">
        <f t="shared" si="0"/>
        <v>40</v>
      </c>
      <c r="I28">
        <v>9</v>
      </c>
      <c r="J28">
        <v>10</v>
      </c>
      <c r="K28">
        <v>8</v>
      </c>
      <c r="L28">
        <v>10</v>
      </c>
      <c r="M28">
        <f t="shared" si="1"/>
        <v>9.25</v>
      </c>
      <c r="N28" s="4">
        <f t="shared" si="2"/>
        <v>49.25</v>
      </c>
      <c r="O28">
        <v>100</v>
      </c>
      <c r="P28">
        <v>100</v>
      </c>
      <c r="Q28">
        <v>100</v>
      </c>
      <c r="R28" s="4" cm="1">
        <f t="array" ref="R28">SUM(O28:Q28/3)*0.5</f>
        <v>50</v>
      </c>
      <c r="T28" s="6">
        <f>+N28+R28</f>
        <v>99.25</v>
      </c>
      <c r="U28" s="8" t="s">
        <v>114</v>
      </c>
    </row>
    <row r="29" spans="1:21" x14ac:dyDescent="0.2">
      <c r="A29" t="s">
        <v>75</v>
      </c>
      <c r="B29" t="s">
        <v>76</v>
      </c>
      <c r="C29" t="s">
        <v>77</v>
      </c>
      <c r="D29">
        <v>8</v>
      </c>
      <c r="E29">
        <v>8</v>
      </c>
      <c r="F29">
        <v>8</v>
      </c>
      <c r="G29">
        <v>6.86</v>
      </c>
      <c r="H29" s="1">
        <f t="shared" si="0"/>
        <v>38.575000000000003</v>
      </c>
      <c r="I29">
        <v>10</v>
      </c>
      <c r="J29">
        <v>9</v>
      </c>
      <c r="K29">
        <v>10</v>
      </c>
      <c r="L29">
        <v>9</v>
      </c>
      <c r="M29">
        <f t="shared" si="1"/>
        <v>9.5</v>
      </c>
      <c r="N29" s="4">
        <f t="shared" si="2"/>
        <v>48.075000000000003</v>
      </c>
      <c r="O29">
        <v>100</v>
      </c>
      <c r="P29">
        <v>100</v>
      </c>
      <c r="Q29">
        <v>100</v>
      </c>
      <c r="R29" s="4" cm="1">
        <f t="array" ref="R29">SUM(O29:Q29/3)*0.5</f>
        <v>50</v>
      </c>
      <c r="T29" s="6">
        <f>+N29+R29</f>
        <v>98.075000000000003</v>
      </c>
      <c r="U29" s="8" t="s">
        <v>114</v>
      </c>
    </row>
    <row r="30" spans="1:21" x14ac:dyDescent="0.2">
      <c r="A30" t="s">
        <v>42</v>
      </c>
      <c r="B30" t="s">
        <v>43</v>
      </c>
      <c r="C30" t="s">
        <v>44</v>
      </c>
      <c r="D30">
        <v>8</v>
      </c>
      <c r="E30">
        <v>6.63</v>
      </c>
      <c r="F30">
        <v>7.2</v>
      </c>
      <c r="G30">
        <v>6.86</v>
      </c>
      <c r="H30" s="1">
        <f t="shared" si="0"/>
        <v>35.862499999999997</v>
      </c>
      <c r="I30">
        <v>9</v>
      </c>
      <c r="J30">
        <v>10</v>
      </c>
      <c r="K30">
        <v>8</v>
      </c>
      <c r="L30">
        <v>9</v>
      </c>
      <c r="M30">
        <f t="shared" si="1"/>
        <v>9</v>
      </c>
      <c r="N30" s="4">
        <f t="shared" si="2"/>
        <v>44.862499999999997</v>
      </c>
      <c r="O30">
        <v>100</v>
      </c>
      <c r="P30">
        <v>100</v>
      </c>
      <c r="Q30">
        <v>100</v>
      </c>
      <c r="R30" s="4" cm="1">
        <f t="array" ref="R30">SUM(O30:Q30/3)*0.5</f>
        <v>50</v>
      </c>
      <c r="T30" s="6">
        <f>+N30+R30</f>
        <v>94.862499999999997</v>
      </c>
      <c r="U30" s="8" t="s">
        <v>113</v>
      </c>
    </row>
    <row r="31" spans="1:21" x14ac:dyDescent="0.2">
      <c r="A31" t="s">
        <v>12</v>
      </c>
      <c r="B31" t="s">
        <v>13</v>
      </c>
      <c r="C31" t="s">
        <v>14</v>
      </c>
      <c r="D31">
        <v>8</v>
      </c>
      <c r="E31">
        <v>7.75</v>
      </c>
      <c r="F31">
        <v>7.33</v>
      </c>
      <c r="G31">
        <v>8</v>
      </c>
      <c r="H31" s="1">
        <f t="shared" si="0"/>
        <v>38.849999999999994</v>
      </c>
      <c r="I31">
        <v>8</v>
      </c>
      <c r="J31">
        <v>8</v>
      </c>
      <c r="K31">
        <v>6</v>
      </c>
      <c r="L31">
        <v>7</v>
      </c>
      <c r="M31">
        <f t="shared" si="1"/>
        <v>7.25</v>
      </c>
      <c r="N31" s="4">
        <f t="shared" si="2"/>
        <v>46.099999999999994</v>
      </c>
      <c r="O31">
        <v>100</v>
      </c>
      <c r="P31">
        <v>100</v>
      </c>
      <c r="Q31">
        <v>98</v>
      </c>
      <c r="R31" s="4" cm="1">
        <f t="array" ref="R31">SUM(O31:Q31/3)*0.5</f>
        <v>49.666666666666671</v>
      </c>
      <c r="T31" s="6">
        <f>+N31+R31</f>
        <v>95.766666666666666</v>
      </c>
      <c r="U31" s="8" t="s">
        <v>113</v>
      </c>
    </row>
  </sheetData>
  <sortState xmlns:xlrd2="http://schemas.microsoft.com/office/spreadsheetml/2017/richdata2" ref="A3:Q31">
    <sortCondition ref="B3:B31"/>
    <sortCondition ref="C3:C31"/>
  </sortState>
  <mergeCells count="3">
    <mergeCell ref="B1:M1"/>
    <mergeCell ref="O1:Q1"/>
    <mergeCell ref="T2:U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Dixon</dc:creator>
  <cp:lastModifiedBy>Yigit Aydede</cp:lastModifiedBy>
  <dcterms:created xsi:type="dcterms:W3CDTF">2025-12-09T17:16:40Z</dcterms:created>
  <dcterms:modified xsi:type="dcterms:W3CDTF">2025-12-12T11:07:02Z</dcterms:modified>
</cp:coreProperties>
</file>